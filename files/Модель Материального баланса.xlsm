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filterPrivacy="1" codeName="ЭтаКнига"/>
  <xr:revisionPtr revIDLastSave="0" documentId="13_ncr:1_{9E93791C-9766-4E6C-A1CD-4556AEE579C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Материальный баланс" sheetId="1" r:id="rId1"/>
  </sheets>
  <functionGroups builtInGroupCount="19"/>
  <externalReferences>
    <externalReference r:id="rId2"/>
  </externalReferences>
  <definedNames>
    <definedName name="Bg_init">'Материальный баланс'!$B$27</definedName>
    <definedName name="Bo_init">'Материальный баланс'!$B$26</definedName>
    <definedName name="bo_m3m3">'Материальный баланс'!#REF!</definedName>
    <definedName name="cf">'Материальный баланс'!$F$4</definedName>
    <definedName name="cw">'Материальный баланс'!$F$3</definedName>
    <definedName name="feed_json">'Материальный баланс'!#REF!</definedName>
    <definedName name="gas_fraction">'Материальный баланс'!#REF!</definedName>
    <definedName name="N">'Материальный баланс'!$B$3</definedName>
    <definedName name="pb_atma">'Материальный баланс'!$B$17</definedName>
    <definedName name="Pres_init">'Материальный баланс'!$B$7</definedName>
    <definedName name="PVT_json">'Материальный баланс'!$L$6</definedName>
    <definedName name="PVT_json_1">'Материальный баланс'!#REF!</definedName>
    <definedName name="PVT_json_2">'Материальный баланс'!$B$22</definedName>
    <definedName name="PVT_json_3">'Материальный баланс'!$B$40</definedName>
    <definedName name="Rs_init">'Материальный баланс'!$B$28</definedName>
    <definedName name="solver_adj" localSheetId="0" hidden="1">'Материальный баланс'!#REF!</definedName>
    <definedName name="solver_cvg" localSheetId="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0" hidden="1">1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'Материальный баланс'!#REF!</definedName>
    <definedName name="solver_lhs2" localSheetId="0" hidden="1">'Материальный баланс'!#REF!</definedName>
    <definedName name="solver_mip" localSheetId="0" hidden="1">2147483647</definedName>
    <definedName name="solver_mni" localSheetId="0" hidden="1">30</definedName>
    <definedName name="solver_mrt" localSheetId="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'Материальный баланс'!#REF!</definedName>
    <definedName name="solver_pre" localSheetId="0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hs1" localSheetId="0" hidden="1">100</definedName>
    <definedName name="solver_rhs2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wc">'Материальный баланс'!$F$5</definedName>
    <definedName name="t_res_C">'Материальный баланс'!$B$8</definedName>
    <definedName name="Vgascap">'Материальный баланс'!$B$4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2" i="1" l="1"/>
  <c r="B28" i="1"/>
  <c r="B26" i="1"/>
  <c r="B27" i="1"/>
</calcChain>
</file>

<file path=xl/sharedStrings.xml><?xml version="1.0" encoding="utf-8"?>
<sst xmlns="http://schemas.openxmlformats.org/spreadsheetml/2006/main" count="51" uniqueCount="46">
  <si>
    <t>Начальные запасы</t>
  </si>
  <si>
    <t>N</t>
  </si>
  <si>
    <t>PVT свойства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</si>
  <si>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o_init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</si>
  <si>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s_init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</si>
  <si>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g_init</t>
    </r>
  </si>
  <si>
    <r>
      <t>V</t>
    </r>
    <r>
      <rPr>
        <vertAlign val="subscript"/>
        <sz val="11"/>
        <color theme="1"/>
        <rFont val="Calibri"/>
        <family val="2"/>
        <charset val="204"/>
        <scheme val="minor"/>
      </rPr>
      <t>gascap</t>
    </r>
  </si>
  <si>
    <t>ОФП и сжимаемости</t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</si>
  <si>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</si>
  <si>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f</t>
    </r>
  </si>
  <si>
    <r>
      <t>S</t>
    </r>
    <r>
      <rPr>
        <vertAlign val="subscript"/>
        <sz val="11"/>
        <color theme="1"/>
        <rFont val="Calibri"/>
        <family val="2"/>
        <charset val="204"/>
        <scheme val="minor"/>
      </rPr>
      <t>wc</t>
    </r>
  </si>
  <si>
    <t>д.ед.</t>
  </si>
  <si>
    <t>ст.м3/ст.м3</t>
  </si>
  <si>
    <t>атм</t>
  </si>
  <si>
    <t>Время, месяц</t>
  </si>
  <si>
    <t>Накопленная добыча нефти, м3</t>
  </si>
  <si>
    <t>Накопленная добыча воды, м3</t>
  </si>
  <si>
    <t>Дебит нефти, м3/сут</t>
  </si>
  <si>
    <t>Дебит воды, м3/сут</t>
  </si>
  <si>
    <t>Накопленная добыча газа, м3</t>
  </si>
  <si>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</si>
  <si>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</si>
  <si>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</si>
  <si>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</si>
  <si>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</si>
  <si>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</si>
  <si>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</si>
  <si>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</si>
  <si>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</si>
  <si>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</si>
  <si>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Начальные пластовые условия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</si>
  <si>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res_init</t>
    </r>
  </si>
  <si>
    <t>С</t>
  </si>
  <si>
    <t>Дебит газа, ст.м3/сут</t>
  </si>
  <si>
    <t>Приток из аквифера, м3</t>
  </si>
  <si>
    <t>Приток из аквифера, м3/сут</t>
  </si>
  <si>
    <t>Приемистость газа, ст.м3/сут</t>
  </si>
  <si>
    <t>Приемистость воды, м3/сут</t>
  </si>
  <si>
    <t>Объем закаченного газа, ст.м3</t>
  </si>
  <si>
    <t>Объем закаченной воды, м3</t>
  </si>
  <si>
    <t>Давление, атм</t>
  </si>
  <si>
    <t>Расчет</t>
  </si>
  <si>
    <t>Исходные данные</t>
  </si>
  <si>
    <t>м3</t>
  </si>
  <si>
    <t>1/атм</t>
  </si>
  <si>
    <t>Рассчитанные PVT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</si>
</sst>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8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/>
    <xf numFmtId="0" fontId="0" fillId="4" borderId="0" xfId="0" applyFill="1" applyBorder="1"/>
    <xf numFmtId="0" fontId="0" fillId="5" borderId="0" xfId="0" applyFill="1" applyBorder="1" applyAlignment="1">
      <alignment wrapText="1"/>
    </xf>
    <xf numFmtId="0" fontId="0" fillId="0" borderId="0" xfId="0" applyFill="1" applyBorder="1"/>
    <xf numFmtId="0" fontId="2" fillId="0" borderId="0" xfId="0" applyFont="1" applyFill="1" applyBorder="1"/>
    <xf numFmtId="0" fontId="0" fillId="6" borderId="1" xfId="0" applyFill="1" applyBorder="1"/>
    <xf numFmtId="0" fontId="0" fillId="4" borderId="1" xfId="0" applyFill="1" applyBorder="1"/>
    <xf numFmtId="0" fontId="0" fillId="7" borderId="1" xfId="0" applyFill="1" applyBorder="1"/>
    <xf numFmtId="11" fontId="0" fillId="4" borderId="1" xfId="0" applyNumberFormat="1" applyFill="1" applyBorder="1"/>
    <xf numFmtId="0" fontId="0" fillId="2" borderId="1" xfId="0" applyFill="1" applyBorder="1"/>
    <xf numFmtId="0" fontId="0" fillId="3" borderId="1" xfId="0" applyFill="1" applyBorder="1" applyAlignment="1"/>
    <xf numFmtId="0" fontId="0" fillId="8" borderId="0" xfId="0" applyFill="1" applyBorder="1"/>
    <xf numFmtId="0" fontId="3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alculator_Optimize_fond/UniflocVBA_7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UniflocVBA_7"/>
    </sheetNames>
    <definedNames>
      <definedName name="encode_PVT"/>
      <definedName name="PVT_bg_m3m3"/>
      <definedName name="PVT_bo_m3m3"/>
      <definedName name="PVT_rs_m3m3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W68"/>
  <sheetViews>
    <sheetView tabSelected="1" workbookViewId="0">
      <selection activeCell="X12" sqref="X12"/>
    </sheetView>
  </sheetViews>
  <sheetFormatPr defaultRowHeight="15" x14ac:dyDescent="0.25"/>
  <cols>
    <col min="2" max="2" width="20" customWidth="1"/>
    <col min="6" max="6" width="10" customWidth="1"/>
    <col min="9" max="9" width="7.5703125" customWidth="1"/>
    <col min="10" max="10" width="6" customWidth="1"/>
    <col min="11" max="11" width="5" customWidth="1"/>
    <col min="12" max="12" width="7.140625" customWidth="1"/>
    <col min="13" max="13" width="6.42578125" customWidth="1"/>
    <col min="14" max="14" width="6.5703125" customWidth="1"/>
    <col min="15" max="15" width="6" customWidth="1"/>
    <col min="16" max="16" width="8.85546875" customWidth="1"/>
    <col min="17" max="17" width="7.140625" customWidth="1"/>
    <col min="18" max="18" width="11" customWidth="1"/>
    <col min="19" max="21" width="6.140625" customWidth="1"/>
    <col min="22" max="22" width="12" bestFit="1" customWidth="1"/>
    <col min="23" max="23" width="9.140625" style="1"/>
  </cols>
  <sheetData>
    <row r="1" spans="1:22" ht="23.25" x14ac:dyDescent="0.35">
      <c r="A1" s="13" t="s">
        <v>42</v>
      </c>
      <c r="B1" s="13"/>
      <c r="C1" s="13"/>
      <c r="D1" s="13"/>
      <c r="E1" s="13"/>
      <c r="F1" s="13"/>
      <c r="G1" s="13"/>
      <c r="H1" s="1"/>
      <c r="I1" s="13" t="s">
        <v>41</v>
      </c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</row>
    <row r="2" spans="1:22" ht="105" x14ac:dyDescent="0.25">
      <c r="A2" s="14" t="s">
        <v>0</v>
      </c>
      <c r="B2" s="14"/>
      <c r="C2" s="1"/>
      <c r="D2" s="1"/>
      <c r="E2" s="14" t="s">
        <v>7</v>
      </c>
      <c r="F2" s="14"/>
      <c r="G2" s="1"/>
      <c r="H2" s="1"/>
      <c r="I2" s="3" t="s">
        <v>14</v>
      </c>
      <c r="J2" s="3" t="s">
        <v>17</v>
      </c>
      <c r="K2" s="3" t="s">
        <v>18</v>
      </c>
      <c r="L2" s="3" t="s">
        <v>33</v>
      </c>
      <c r="M2" s="3" t="s">
        <v>35</v>
      </c>
      <c r="N2" s="3" t="s">
        <v>36</v>
      </c>
      <c r="O2" s="3" t="s">
        <v>37</v>
      </c>
      <c r="P2" s="3" t="s">
        <v>15</v>
      </c>
      <c r="Q2" s="3" t="s">
        <v>16</v>
      </c>
      <c r="R2" s="3" t="s">
        <v>19</v>
      </c>
      <c r="S2" s="3" t="s">
        <v>34</v>
      </c>
      <c r="T2" s="3" t="s">
        <v>38</v>
      </c>
      <c r="U2" s="3" t="s">
        <v>39</v>
      </c>
      <c r="V2" s="3" t="s">
        <v>40</v>
      </c>
    </row>
    <row r="3" spans="1:22" ht="18" x14ac:dyDescent="0.35">
      <c r="A3" s="6" t="s">
        <v>1</v>
      </c>
      <c r="B3" s="7">
        <v>33500000</v>
      </c>
      <c r="C3" s="8" t="s">
        <v>43</v>
      </c>
      <c r="D3" s="1"/>
      <c r="E3" s="6" t="s">
        <v>8</v>
      </c>
      <c r="F3" s="9">
        <v>5.0000000000000002E-5</v>
      </c>
      <c r="G3" s="8" t="s">
        <v>44</v>
      </c>
      <c r="H3" s="1"/>
      <c r="I3" s="2"/>
      <c r="J3" s="2"/>
      <c r="K3" s="2"/>
      <c r="L3" s="2"/>
      <c r="M3" s="2"/>
      <c r="N3" s="2"/>
      <c r="O3" s="2"/>
      <c r="P3" s="12"/>
      <c r="Q3" s="12"/>
      <c r="R3" s="12"/>
      <c r="S3" s="12"/>
      <c r="T3" s="12"/>
      <c r="U3" s="12"/>
      <c r="V3" s="12"/>
    </row>
    <row r="4" spans="1:22" ht="18" x14ac:dyDescent="0.35">
      <c r="A4" s="6" t="s">
        <v>6</v>
      </c>
      <c r="B4" s="7">
        <v>0</v>
      </c>
      <c r="C4" s="8" t="s">
        <v>43</v>
      </c>
      <c r="D4" s="1"/>
      <c r="E4" s="6" t="s">
        <v>9</v>
      </c>
      <c r="F4" s="9">
        <v>4.8199999999999999E-5</v>
      </c>
      <c r="G4" s="8" t="s">
        <v>44</v>
      </c>
      <c r="H4" s="1"/>
      <c r="I4" s="2"/>
      <c r="J4" s="2"/>
      <c r="K4" s="2"/>
      <c r="L4" s="2"/>
      <c r="M4" s="2"/>
      <c r="N4" s="2"/>
      <c r="O4" s="2"/>
      <c r="P4" s="12"/>
      <c r="Q4" s="12"/>
      <c r="R4" s="12"/>
      <c r="S4" s="12"/>
      <c r="T4" s="12"/>
      <c r="U4" s="12"/>
      <c r="V4" s="12"/>
    </row>
    <row r="5" spans="1:22" ht="18" x14ac:dyDescent="0.35">
      <c r="A5" s="1"/>
      <c r="B5" s="1"/>
      <c r="C5" s="1"/>
      <c r="D5" s="1"/>
      <c r="E5" s="6" t="s">
        <v>10</v>
      </c>
      <c r="F5" s="7">
        <v>0.15</v>
      </c>
      <c r="G5" s="8" t="s">
        <v>11</v>
      </c>
      <c r="H5" s="1"/>
      <c r="I5" s="2"/>
      <c r="J5" s="2"/>
      <c r="K5" s="2"/>
      <c r="L5" s="2"/>
      <c r="M5" s="2"/>
      <c r="N5" s="2"/>
      <c r="O5" s="2"/>
      <c r="P5" s="12"/>
      <c r="Q5" s="12"/>
      <c r="R5" s="12"/>
      <c r="S5" s="12"/>
      <c r="T5" s="12"/>
      <c r="U5" s="12"/>
      <c r="V5" s="12"/>
    </row>
    <row r="6" spans="1:22" x14ac:dyDescent="0.25">
      <c r="A6" s="14" t="s">
        <v>30</v>
      </c>
      <c r="B6" s="14"/>
      <c r="C6" s="1"/>
      <c r="D6" s="1"/>
      <c r="E6" s="1"/>
      <c r="F6" s="1"/>
      <c r="G6" s="1"/>
      <c r="H6" s="1"/>
      <c r="I6" s="2"/>
      <c r="J6" s="2"/>
      <c r="K6" s="2"/>
      <c r="L6" s="2"/>
      <c r="M6" s="2"/>
      <c r="N6" s="2"/>
      <c r="O6" s="2"/>
      <c r="P6" s="12"/>
      <c r="Q6" s="12"/>
      <c r="R6" s="12"/>
      <c r="S6" s="12"/>
      <c r="T6" s="12"/>
      <c r="U6" s="12"/>
      <c r="V6" s="12"/>
    </row>
    <row r="7" spans="1:22" ht="18" x14ac:dyDescent="0.35">
      <c r="A7" s="6" t="s">
        <v>31</v>
      </c>
      <c r="B7" s="7">
        <v>276</v>
      </c>
      <c r="C7" s="8" t="s">
        <v>13</v>
      </c>
      <c r="D7" s="1"/>
      <c r="E7" s="1"/>
      <c r="F7" s="1"/>
      <c r="G7" s="1"/>
      <c r="H7" s="1"/>
      <c r="I7" s="2"/>
      <c r="J7" s="2"/>
      <c r="K7" s="2"/>
      <c r="L7" s="2"/>
      <c r="M7" s="2"/>
      <c r="N7" s="2"/>
      <c r="O7" s="2"/>
      <c r="P7" s="12"/>
      <c r="Q7" s="12"/>
      <c r="R7" s="12"/>
      <c r="S7" s="12"/>
      <c r="T7" s="12"/>
      <c r="U7" s="12"/>
      <c r="V7" s="12"/>
    </row>
    <row r="8" spans="1:22" x14ac:dyDescent="0.25">
      <c r="A8" s="6" t="s">
        <v>25</v>
      </c>
      <c r="B8" s="7">
        <v>121.11</v>
      </c>
      <c r="C8" s="8" t="s">
        <v>32</v>
      </c>
      <c r="D8" s="1"/>
      <c r="E8" s="1"/>
      <c r="F8" s="1"/>
      <c r="G8" s="1"/>
      <c r="H8" s="1"/>
      <c r="I8" s="2"/>
      <c r="J8" s="2"/>
      <c r="K8" s="2"/>
      <c r="L8" s="2"/>
      <c r="M8" s="2"/>
      <c r="N8" s="2"/>
      <c r="O8" s="2"/>
      <c r="P8" s="12"/>
      <c r="Q8" s="12"/>
      <c r="R8" s="12"/>
      <c r="S8" s="12"/>
      <c r="T8" s="12"/>
      <c r="U8" s="12"/>
      <c r="V8" s="12"/>
    </row>
    <row r="9" spans="1:22" x14ac:dyDescent="0.25">
      <c r="A9" s="1"/>
      <c r="B9" s="1"/>
      <c r="C9" s="1"/>
      <c r="D9" s="1"/>
      <c r="E9" s="1"/>
      <c r="F9" s="1"/>
      <c r="G9" s="1"/>
      <c r="H9" s="1"/>
      <c r="I9" s="2"/>
      <c r="J9" s="2"/>
      <c r="K9" s="2"/>
      <c r="L9" s="2"/>
      <c r="M9" s="2"/>
      <c r="N9" s="2"/>
      <c r="O9" s="2"/>
      <c r="P9" s="12"/>
      <c r="Q9" s="12"/>
      <c r="R9" s="12"/>
      <c r="S9" s="12"/>
      <c r="T9" s="12"/>
      <c r="U9" s="12"/>
      <c r="V9" s="12"/>
    </row>
    <row r="10" spans="1:22" x14ac:dyDescent="0.25">
      <c r="A10" s="1"/>
      <c r="B10" s="1"/>
      <c r="C10" s="1"/>
      <c r="D10" s="1"/>
      <c r="E10" s="1"/>
      <c r="F10" s="1"/>
      <c r="G10" s="1"/>
      <c r="H10" s="1"/>
      <c r="I10" s="2"/>
      <c r="J10" s="2"/>
      <c r="K10" s="2"/>
      <c r="L10" s="2"/>
      <c r="M10" s="2"/>
      <c r="N10" s="2"/>
      <c r="O10" s="2"/>
      <c r="P10" s="12"/>
      <c r="Q10" s="12"/>
      <c r="R10" s="12"/>
      <c r="S10" s="12"/>
      <c r="T10" s="12"/>
      <c r="U10" s="12"/>
      <c r="V10" s="12"/>
    </row>
    <row r="11" spans="1:22" x14ac:dyDescent="0.25">
      <c r="A11" s="1"/>
      <c r="B11" s="1"/>
      <c r="C11" s="1"/>
      <c r="D11" s="1"/>
      <c r="E11" s="1"/>
      <c r="F11" s="1"/>
      <c r="G11" s="1"/>
      <c r="H11" s="1"/>
      <c r="I11" s="2"/>
      <c r="J11" s="2"/>
      <c r="K11" s="2"/>
      <c r="L11" s="2"/>
      <c r="M11" s="2"/>
      <c r="N11" s="2"/>
      <c r="O11" s="2"/>
      <c r="P11" s="12"/>
      <c r="Q11" s="12"/>
      <c r="R11" s="12"/>
      <c r="S11" s="12"/>
      <c r="T11" s="12"/>
      <c r="U11" s="12"/>
      <c r="V11" s="12"/>
    </row>
    <row r="12" spans="1:22" x14ac:dyDescent="0.25">
      <c r="A12" s="14" t="s">
        <v>2</v>
      </c>
      <c r="B12" s="14"/>
      <c r="C12" s="1"/>
      <c r="D12" s="1"/>
      <c r="E12" s="1"/>
      <c r="F12" s="1"/>
      <c r="G12" s="1"/>
      <c r="H12" s="1"/>
      <c r="I12" s="2"/>
      <c r="J12" s="2"/>
      <c r="K12" s="2"/>
      <c r="L12" s="2"/>
      <c r="M12" s="2"/>
      <c r="N12" s="2"/>
      <c r="O12" s="2"/>
      <c r="P12" s="12"/>
      <c r="Q12" s="12"/>
      <c r="R12" s="12"/>
      <c r="S12" s="12"/>
      <c r="T12" s="12"/>
      <c r="U12" s="12"/>
      <c r="V12" s="12"/>
    </row>
    <row r="13" spans="1:22" x14ac:dyDescent="0.25">
      <c r="A13" s="10" t="s">
        <v>20</v>
      </c>
      <c r="B13" s="7">
        <v>0.79800000000000004</v>
      </c>
      <c r="C13" s="1"/>
      <c r="D13" s="1"/>
      <c r="E13" s="1"/>
      <c r="F13" s="1"/>
      <c r="G13" s="1"/>
      <c r="H13" s="1"/>
      <c r="I13" s="2"/>
      <c r="J13" s="2"/>
      <c r="K13" s="2"/>
      <c r="L13" s="2"/>
      <c r="M13" s="2"/>
      <c r="N13" s="2"/>
      <c r="O13" s="2"/>
      <c r="P13" s="12"/>
      <c r="Q13" s="12"/>
      <c r="R13" s="12"/>
      <c r="S13" s="12"/>
      <c r="T13" s="12"/>
      <c r="U13" s="12"/>
      <c r="V13" s="12"/>
    </row>
    <row r="14" spans="1:22" x14ac:dyDescent="0.25">
      <c r="A14" s="10" t="s">
        <v>21</v>
      </c>
      <c r="B14" s="7">
        <v>0.83</v>
      </c>
      <c r="C14" s="1"/>
      <c r="D14" s="1"/>
      <c r="E14" s="1"/>
      <c r="F14" s="1"/>
      <c r="G14" s="1"/>
      <c r="H14" s="1"/>
      <c r="I14" s="2"/>
      <c r="J14" s="2"/>
      <c r="K14" s="2"/>
      <c r="L14" s="2"/>
      <c r="M14" s="2"/>
      <c r="N14" s="2"/>
      <c r="O14" s="2"/>
      <c r="P14" s="12"/>
      <c r="Q14" s="12"/>
      <c r="R14" s="12"/>
      <c r="S14" s="12"/>
      <c r="T14" s="12"/>
      <c r="U14" s="12"/>
      <c r="V14" s="12"/>
    </row>
    <row r="15" spans="1:22" x14ac:dyDescent="0.25">
      <c r="A15" s="10" t="s">
        <v>22</v>
      </c>
      <c r="B15" s="7">
        <v>1.0689</v>
      </c>
      <c r="C15" s="1"/>
      <c r="D15" s="1"/>
      <c r="E15" s="1"/>
      <c r="F15" s="1"/>
      <c r="G15" s="1"/>
      <c r="H15" s="1"/>
      <c r="I15" s="2"/>
      <c r="J15" s="2"/>
      <c r="K15" s="2"/>
      <c r="L15" s="2"/>
      <c r="M15" s="2"/>
      <c r="N15" s="2"/>
      <c r="O15" s="2"/>
      <c r="P15" s="12"/>
      <c r="Q15" s="12"/>
      <c r="R15" s="12"/>
      <c r="S15" s="12"/>
      <c r="T15" s="12"/>
      <c r="U15" s="12"/>
      <c r="V15" s="12"/>
    </row>
    <row r="16" spans="1:22" x14ac:dyDescent="0.25">
      <c r="A16" s="10" t="s">
        <v>23</v>
      </c>
      <c r="B16" s="7">
        <v>88.6</v>
      </c>
      <c r="C16" s="1"/>
      <c r="D16" s="1"/>
      <c r="E16" s="1"/>
      <c r="F16" s="1"/>
      <c r="G16" s="1"/>
      <c r="H16" s="1"/>
      <c r="I16" s="2"/>
      <c r="J16" s="2"/>
      <c r="K16" s="2"/>
      <c r="L16" s="2"/>
      <c r="M16" s="2"/>
      <c r="N16" s="2"/>
      <c r="O16" s="2"/>
      <c r="P16" s="12"/>
      <c r="Q16" s="12"/>
      <c r="R16" s="12"/>
      <c r="S16" s="12"/>
      <c r="T16" s="12"/>
      <c r="U16" s="12"/>
      <c r="V16" s="12"/>
    </row>
    <row r="17" spans="1:22" x14ac:dyDescent="0.25">
      <c r="A17" s="10" t="s">
        <v>24</v>
      </c>
      <c r="B17" s="7">
        <v>152</v>
      </c>
      <c r="C17" s="1"/>
      <c r="D17" s="1"/>
      <c r="E17" s="1"/>
      <c r="F17" s="1"/>
      <c r="G17" s="1"/>
      <c r="H17" s="1"/>
      <c r="I17" s="2"/>
      <c r="J17" s="2"/>
      <c r="K17" s="2"/>
      <c r="L17" s="2"/>
      <c r="M17" s="2"/>
      <c r="N17" s="2"/>
      <c r="O17" s="2"/>
      <c r="P17" s="12"/>
      <c r="Q17" s="12"/>
      <c r="R17" s="12"/>
      <c r="S17" s="12"/>
      <c r="T17" s="12"/>
      <c r="U17" s="12"/>
      <c r="V17" s="12"/>
    </row>
    <row r="18" spans="1:22" x14ac:dyDescent="0.25">
      <c r="A18" s="10" t="s">
        <v>25</v>
      </c>
      <c r="B18" s="7">
        <v>121.11</v>
      </c>
      <c r="C18" s="1"/>
      <c r="D18" s="1"/>
      <c r="E18" s="1"/>
      <c r="F18" s="1"/>
      <c r="G18" s="1"/>
      <c r="H18" s="1"/>
      <c r="I18" s="2"/>
      <c r="J18" s="2"/>
      <c r="K18" s="2"/>
      <c r="L18" s="2"/>
      <c r="M18" s="2"/>
      <c r="N18" s="2"/>
      <c r="O18" s="2"/>
      <c r="P18" s="12"/>
      <c r="Q18" s="12"/>
      <c r="R18" s="12"/>
      <c r="S18" s="12"/>
      <c r="T18" s="12"/>
      <c r="U18" s="12"/>
      <c r="V18" s="12"/>
    </row>
    <row r="19" spans="1:22" x14ac:dyDescent="0.25">
      <c r="A19" s="10" t="s">
        <v>26</v>
      </c>
      <c r="B19" s="7">
        <v>1.3</v>
      </c>
      <c r="C19" s="1"/>
      <c r="D19" s="1"/>
      <c r="E19" s="1"/>
      <c r="F19" s="1"/>
      <c r="G19" s="1"/>
      <c r="H19" s="1"/>
      <c r="I19" s="2"/>
      <c r="J19" s="2"/>
      <c r="K19" s="2"/>
      <c r="L19" s="2"/>
      <c r="M19" s="2"/>
      <c r="N19" s="2"/>
      <c r="O19" s="2"/>
      <c r="P19" s="12"/>
      <c r="Q19" s="12"/>
      <c r="R19" s="12"/>
      <c r="S19" s="12"/>
      <c r="T19" s="12"/>
      <c r="U19" s="12"/>
      <c r="V19" s="12"/>
    </row>
    <row r="20" spans="1:22" x14ac:dyDescent="0.25">
      <c r="A20" s="10" t="s">
        <v>27</v>
      </c>
      <c r="B20" s="7">
        <v>0.4</v>
      </c>
      <c r="C20" s="1"/>
      <c r="D20" s="1"/>
      <c r="E20" s="1"/>
      <c r="F20" s="1"/>
      <c r="G20" s="1"/>
      <c r="H20" s="1"/>
      <c r="I20" s="2"/>
      <c r="J20" s="2"/>
      <c r="K20" s="2"/>
      <c r="L20" s="2"/>
      <c r="M20" s="2"/>
      <c r="N20" s="2"/>
      <c r="O20" s="2"/>
      <c r="P20" s="12"/>
      <c r="Q20" s="12"/>
      <c r="R20" s="12"/>
      <c r="S20" s="12"/>
      <c r="T20" s="12"/>
      <c r="U20" s="12"/>
      <c r="V20" s="12"/>
    </row>
    <row r="21" spans="1:22" x14ac:dyDescent="0.25">
      <c r="A21" s="10" t="s">
        <v>28</v>
      </c>
      <c r="B21" s="7">
        <v>0</v>
      </c>
      <c r="C21" s="1"/>
      <c r="D21" s="1"/>
      <c r="E21" s="1"/>
      <c r="F21" s="1"/>
      <c r="G21" s="1"/>
      <c r="H21" s="1"/>
      <c r="I21" s="2"/>
      <c r="J21" s="2"/>
      <c r="K21" s="2"/>
      <c r="L21" s="2"/>
      <c r="M21" s="2"/>
      <c r="N21" s="2"/>
      <c r="O21" s="2"/>
      <c r="P21" s="12"/>
      <c r="Q21" s="12"/>
      <c r="R21" s="12"/>
      <c r="S21" s="12"/>
      <c r="T21" s="12"/>
      <c r="U21" s="12"/>
      <c r="V21" s="12"/>
    </row>
    <row r="22" spans="1:22" x14ac:dyDescent="0.25">
      <c r="A22" s="10" t="s">
        <v>29</v>
      </c>
      <c r="B22" s="11" t="e">
        <f ca="1">[1]!encode_PVT(B13,B14,B15,B16,B17,B18,B19,B20,B21)</f>
        <v>#NAME?</v>
      </c>
      <c r="C22" s="1"/>
      <c r="D22" s="1"/>
      <c r="E22" s="1"/>
      <c r="F22" s="1"/>
      <c r="G22" s="1"/>
      <c r="H22" s="1"/>
      <c r="I22" s="2"/>
      <c r="J22" s="2"/>
      <c r="K22" s="2"/>
      <c r="L22" s="2"/>
      <c r="M22" s="2"/>
      <c r="N22" s="2"/>
      <c r="O22" s="2"/>
      <c r="P22" s="12"/>
      <c r="Q22" s="12"/>
      <c r="R22" s="12"/>
      <c r="S22" s="12"/>
      <c r="T22" s="12"/>
      <c r="U22" s="12"/>
      <c r="V22" s="12"/>
    </row>
    <row r="23" spans="1:22" x14ac:dyDescent="0.25">
      <c r="A23" s="1"/>
      <c r="B23" s="1"/>
      <c r="C23" s="1"/>
      <c r="D23" s="1"/>
      <c r="E23" s="1"/>
      <c r="F23" s="1"/>
      <c r="G23" s="1"/>
      <c r="H23" s="1"/>
      <c r="I23" s="2"/>
      <c r="J23" s="2"/>
      <c r="K23" s="2"/>
      <c r="L23" s="2"/>
      <c r="M23" s="2"/>
      <c r="N23" s="2"/>
      <c r="O23" s="2"/>
      <c r="P23" s="12"/>
      <c r="Q23" s="12"/>
      <c r="R23" s="12"/>
      <c r="S23" s="12"/>
      <c r="T23" s="12"/>
      <c r="U23" s="12"/>
      <c r="V23" s="12"/>
    </row>
    <row r="24" spans="1:22" x14ac:dyDescent="0.25">
      <c r="A24" s="1"/>
      <c r="B24" s="1"/>
      <c r="C24" s="1"/>
      <c r="D24" s="1"/>
      <c r="E24" s="1"/>
      <c r="F24" s="1"/>
      <c r="G24" s="1"/>
      <c r="H24" s="1"/>
      <c r="I24" s="2"/>
      <c r="J24" s="2"/>
      <c r="K24" s="2"/>
      <c r="L24" s="2"/>
      <c r="M24" s="2"/>
      <c r="N24" s="2"/>
      <c r="O24" s="2"/>
      <c r="P24" s="12"/>
      <c r="Q24" s="12"/>
      <c r="R24" s="12"/>
      <c r="S24" s="12"/>
      <c r="T24" s="12"/>
      <c r="U24" s="12"/>
      <c r="V24" s="12"/>
    </row>
    <row r="25" spans="1:22" x14ac:dyDescent="0.25">
      <c r="A25" s="5" t="s">
        <v>45</v>
      </c>
      <c r="B25" s="4"/>
      <c r="C25" s="1"/>
      <c r="D25" s="1"/>
      <c r="E25" s="1"/>
      <c r="F25" s="1"/>
      <c r="G25" s="1"/>
      <c r="H25" s="1"/>
      <c r="I25" s="2"/>
      <c r="J25" s="2"/>
      <c r="K25" s="2"/>
      <c r="L25" s="2"/>
      <c r="M25" s="2"/>
      <c r="N25" s="2"/>
      <c r="O25" s="2"/>
      <c r="P25" s="12"/>
      <c r="Q25" s="12"/>
      <c r="R25" s="12"/>
      <c r="S25" s="12"/>
      <c r="T25" s="12"/>
      <c r="U25" s="12"/>
      <c r="V25" s="12"/>
    </row>
    <row r="26" spans="1:22" ht="18" x14ac:dyDescent="0.35">
      <c r="A26" s="6" t="s">
        <v>3</v>
      </c>
      <c r="B26" s="7" t="e">
        <f ca="1">[1]!PVT_bo_m3m3(Pres_init,t_res_C,PVT_json_2)</f>
        <v>#NAME?</v>
      </c>
      <c r="C26" s="8" t="s">
        <v>11</v>
      </c>
      <c r="D26" s="1"/>
      <c r="E26" s="1"/>
      <c r="F26" s="1"/>
      <c r="G26" s="1"/>
      <c r="H26" s="1"/>
      <c r="I26" s="2"/>
      <c r="J26" s="2"/>
      <c r="K26" s="2"/>
      <c r="L26" s="2"/>
      <c r="M26" s="2"/>
      <c r="N26" s="2"/>
      <c r="O26" s="2"/>
      <c r="P26" s="12"/>
      <c r="Q26" s="12"/>
      <c r="R26" s="12"/>
      <c r="S26" s="12"/>
      <c r="T26" s="12"/>
      <c r="U26" s="12"/>
      <c r="V26" s="12"/>
    </row>
    <row r="27" spans="1:22" ht="18" x14ac:dyDescent="0.35">
      <c r="A27" s="6" t="s">
        <v>5</v>
      </c>
      <c r="B27" s="7" t="e">
        <f ca="1">[1]!PVT_bg_m3m3(Pres_init,t_res_C,PVT_json_2)</f>
        <v>#NAME?</v>
      </c>
      <c r="C27" s="8" t="s">
        <v>11</v>
      </c>
      <c r="D27" s="1"/>
      <c r="E27" s="1"/>
      <c r="F27" s="1"/>
      <c r="G27" s="1"/>
      <c r="H27" s="1"/>
      <c r="I27" s="2"/>
      <c r="J27" s="2"/>
      <c r="K27" s="2"/>
      <c r="L27" s="2"/>
      <c r="M27" s="2"/>
      <c r="N27" s="2"/>
      <c r="O27" s="2"/>
      <c r="P27" s="12"/>
      <c r="Q27" s="12"/>
      <c r="R27" s="12"/>
      <c r="S27" s="12"/>
      <c r="T27" s="12"/>
      <c r="U27" s="12"/>
      <c r="V27" s="12"/>
    </row>
    <row r="28" spans="1:22" ht="18" x14ac:dyDescent="0.35">
      <c r="A28" s="6" t="s">
        <v>4</v>
      </c>
      <c r="B28" s="7" t="e">
        <f ca="1">[1]!PVT_rs_m3m3(Pres_init,t_res_C,PVT_json_2)</f>
        <v>#NAME?</v>
      </c>
      <c r="C28" s="8" t="s">
        <v>12</v>
      </c>
      <c r="D28" s="1"/>
      <c r="E28" s="1"/>
      <c r="F28" s="1"/>
      <c r="G28" s="1"/>
      <c r="H28" s="1"/>
      <c r="I28" s="2"/>
      <c r="J28" s="2"/>
      <c r="K28" s="2"/>
      <c r="L28" s="2"/>
      <c r="M28" s="2"/>
      <c r="N28" s="2"/>
      <c r="O28" s="2"/>
      <c r="P28" s="12"/>
      <c r="Q28" s="12"/>
      <c r="R28" s="12"/>
      <c r="S28" s="12"/>
      <c r="T28" s="12"/>
      <c r="U28" s="12"/>
      <c r="V28" s="12"/>
    </row>
    <row r="29" spans="1:22" x14ac:dyDescent="0.25">
      <c r="A29" s="1"/>
      <c r="B29" s="1"/>
      <c r="C29" s="1"/>
      <c r="D29" s="1"/>
      <c r="E29" s="1"/>
      <c r="F29" s="1"/>
      <c r="G29" s="1"/>
      <c r="H29" s="1"/>
      <c r="I29" s="2"/>
      <c r="J29" s="2"/>
      <c r="K29" s="2"/>
      <c r="L29" s="2"/>
      <c r="M29" s="2"/>
      <c r="N29" s="2"/>
      <c r="O29" s="2"/>
      <c r="P29" s="12"/>
      <c r="Q29" s="12"/>
      <c r="R29" s="12"/>
      <c r="S29" s="12"/>
      <c r="T29" s="12"/>
      <c r="U29" s="12"/>
      <c r="V29" s="12"/>
    </row>
    <row r="30" spans="1:22" x14ac:dyDescent="0.25">
      <c r="A30" s="1"/>
      <c r="B30" s="1"/>
      <c r="C30" s="1"/>
      <c r="D30" s="1"/>
      <c r="E30" s="1"/>
      <c r="F30" s="1"/>
      <c r="G30" s="1"/>
      <c r="H30" s="1"/>
      <c r="I30" s="2"/>
      <c r="J30" s="2"/>
      <c r="K30" s="2"/>
      <c r="L30" s="2"/>
      <c r="M30" s="2"/>
      <c r="N30" s="2"/>
      <c r="O30" s="2"/>
      <c r="P30" s="12"/>
      <c r="Q30" s="12"/>
      <c r="R30" s="12"/>
      <c r="S30" s="12"/>
      <c r="T30" s="12"/>
      <c r="U30" s="12"/>
      <c r="V30" s="12"/>
    </row>
    <row r="31" spans="1:22" x14ac:dyDescent="0.25">
      <c r="A31" s="4"/>
      <c r="B31" s="4"/>
      <c r="C31" s="1"/>
      <c r="D31" s="1"/>
      <c r="E31" s="1"/>
      <c r="F31" s="1"/>
      <c r="G31" s="1"/>
      <c r="H31" s="1"/>
      <c r="I31" s="2"/>
      <c r="J31" s="2"/>
      <c r="K31" s="2"/>
      <c r="L31" s="2"/>
      <c r="M31" s="2"/>
      <c r="N31" s="2"/>
      <c r="O31" s="2"/>
      <c r="P31" s="12"/>
      <c r="Q31" s="12"/>
      <c r="R31" s="12"/>
      <c r="S31" s="12"/>
      <c r="T31" s="12"/>
      <c r="U31" s="12"/>
      <c r="V31" s="12"/>
    </row>
    <row r="32" spans="1:22" x14ac:dyDescent="0.25">
      <c r="A32" s="4"/>
      <c r="B32" s="4"/>
      <c r="C32" s="1"/>
      <c r="D32" s="1"/>
      <c r="E32" s="1"/>
      <c r="F32" s="1"/>
      <c r="G32" s="1"/>
      <c r="H32" s="1"/>
      <c r="I32" s="2"/>
      <c r="J32" s="2"/>
      <c r="K32" s="2"/>
      <c r="L32" s="2"/>
      <c r="M32" s="2"/>
      <c r="N32" s="2"/>
      <c r="O32" s="2"/>
      <c r="P32" s="12"/>
      <c r="Q32" s="12"/>
      <c r="R32" s="12"/>
      <c r="S32" s="12"/>
      <c r="T32" s="12"/>
      <c r="U32" s="12"/>
      <c r="V32" s="12"/>
    </row>
    <row r="33" spans="1:22" x14ac:dyDescent="0.25">
      <c r="A33" s="4"/>
      <c r="B33" s="4"/>
      <c r="C33" s="1"/>
      <c r="D33" s="1"/>
      <c r="E33" s="1"/>
      <c r="F33" s="1"/>
      <c r="G33" s="1"/>
      <c r="H33" s="1"/>
      <c r="I33" s="2"/>
      <c r="J33" s="2"/>
      <c r="K33" s="2"/>
      <c r="L33" s="2"/>
      <c r="M33" s="2"/>
      <c r="N33" s="2"/>
      <c r="O33" s="2"/>
      <c r="P33" s="12"/>
      <c r="Q33" s="12"/>
      <c r="R33" s="12"/>
      <c r="S33" s="12"/>
      <c r="T33" s="12"/>
      <c r="U33" s="12"/>
      <c r="V33" s="12"/>
    </row>
    <row r="34" spans="1:22" x14ac:dyDescent="0.25">
      <c r="A34" s="4"/>
      <c r="B34" s="4"/>
      <c r="C34" s="1"/>
      <c r="D34" s="1"/>
      <c r="E34" s="1"/>
      <c r="F34" s="1"/>
      <c r="G34" s="1"/>
      <c r="H34" s="1"/>
      <c r="I34" s="2"/>
      <c r="J34" s="2"/>
      <c r="K34" s="2"/>
      <c r="L34" s="2"/>
      <c r="M34" s="2"/>
      <c r="N34" s="2"/>
      <c r="O34" s="2"/>
      <c r="P34" s="12"/>
      <c r="Q34" s="12"/>
      <c r="R34" s="12"/>
      <c r="S34" s="12"/>
      <c r="T34" s="12"/>
      <c r="U34" s="12"/>
      <c r="V34" s="12"/>
    </row>
    <row r="35" spans="1:22" x14ac:dyDescent="0.25">
      <c r="A35" s="4"/>
      <c r="B35" s="4"/>
      <c r="C35" s="1"/>
      <c r="D35" s="1"/>
      <c r="E35" s="1"/>
      <c r="F35" s="1"/>
      <c r="G35" s="1"/>
      <c r="H35" s="1"/>
      <c r="I35" s="2"/>
      <c r="J35" s="2"/>
      <c r="K35" s="2"/>
      <c r="L35" s="2"/>
      <c r="M35" s="2"/>
      <c r="N35" s="2"/>
      <c r="O35" s="2"/>
      <c r="P35" s="12"/>
      <c r="Q35" s="12"/>
      <c r="R35" s="12"/>
      <c r="S35" s="12"/>
      <c r="T35" s="12"/>
      <c r="U35" s="12"/>
      <c r="V35" s="12"/>
    </row>
    <row r="36" spans="1:22" x14ac:dyDescent="0.25">
      <c r="A36" s="4"/>
      <c r="B36" s="4"/>
      <c r="C36" s="1"/>
      <c r="D36" s="1"/>
      <c r="E36" s="1"/>
      <c r="F36" s="1"/>
      <c r="G36" s="1"/>
      <c r="H36" s="1"/>
      <c r="I36" s="2"/>
      <c r="J36" s="2"/>
      <c r="K36" s="2"/>
      <c r="L36" s="2"/>
      <c r="M36" s="2"/>
      <c r="N36" s="2"/>
      <c r="O36" s="2"/>
      <c r="P36" s="12"/>
      <c r="Q36" s="12"/>
      <c r="R36" s="12"/>
      <c r="S36" s="12"/>
      <c r="T36" s="12"/>
      <c r="U36" s="12"/>
      <c r="V36" s="12"/>
    </row>
    <row r="37" spans="1:22" x14ac:dyDescent="0.25">
      <c r="A37" s="4"/>
      <c r="B37" s="4"/>
      <c r="C37" s="1"/>
      <c r="D37" s="1"/>
      <c r="E37" s="1"/>
      <c r="F37" s="1"/>
      <c r="G37" s="1"/>
      <c r="H37" s="1"/>
      <c r="I37" s="2"/>
      <c r="J37" s="2"/>
      <c r="K37" s="2"/>
      <c r="L37" s="2"/>
      <c r="M37" s="2"/>
      <c r="N37" s="2"/>
      <c r="O37" s="2"/>
      <c r="P37" s="12"/>
      <c r="Q37" s="12"/>
      <c r="R37" s="12"/>
      <c r="S37" s="12"/>
      <c r="T37" s="12"/>
      <c r="U37" s="12"/>
      <c r="V37" s="12"/>
    </row>
    <row r="38" spans="1:22" x14ac:dyDescent="0.25">
      <c r="A38" s="4"/>
      <c r="B38" s="4"/>
      <c r="C38" s="1"/>
      <c r="D38" s="1"/>
      <c r="E38" s="1"/>
      <c r="F38" s="1"/>
      <c r="G38" s="1"/>
      <c r="H38" s="1"/>
      <c r="I38" s="2"/>
      <c r="J38" s="2"/>
      <c r="K38" s="2"/>
      <c r="L38" s="2"/>
      <c r="M38" s="2"/>
      <c r="N38" s="2"/>
      <c r="O38" s="2"/>
      <c r="P38" s="12"/>
      <c r="Q38" s="12"/>
      <c r="R38" s="12"/>
      <c r="S38" s="12"/>
      <c r="T38" s="12"/>
      <c r="U38" s="12"/>
      <c r="V38" s="12"/>
    </row>
    <row r="39" spans="1:22" x14ac:dyDescent="0.25">
      <c r="A39" s="4"/>
      <c r="B39" s="4"/>
      <c r="C39" s="1"/>
      <c r="D39" s="1"/>
      <c r="E39" s="1"/>
      <c r="F39" s="1"/>
      <c r="G39" s="1"/>
      <c r="H39" s="1"/>
      <c r="I39" s="2"/>
      <c r="J39" s="2"/>
      <c r="K39" s="2"/>
      <c r="L39" s="2"/>
      <c r="M39" s="2"/>
      <c r="N39" s="2"/>
      <c r="O39" s="2"/>
      <c r="P39" s="12"/>
      <c r="Q39" s="12"/>
      <c r="R39" s="12"/>
      <c r="S39" s="12"/>
      <c r="T39" s="12"/>
      <c r="U39" s="12"/>
      <c r="V39" s="12"/>
    </row>
    <row r="40" spans="1:22" x14ac:dyDescent="0.25">
      <c r="A40" s="4"/>
      <c r="B40" s="4"/>
      <c r="C40" s="1"/>
      <c r="D40" s="1"/>
      <c r="E40" s="1"/>
      <c r="F40" s="1"/>
      <c r="G40" s="1"/>
      <c r="H40" s="1"/>
      <c r="I40" s="2"/>
      <c r="J40" s="1"/>
      <c r="K40" s="1"/>
      <c r="L40" s="1"/>
      <c r="M40" s="2"/>
      <c r="N40" s="2"/>
      <c r="O40" s="2"/>
      <c r="P40" s="12"/>
      <c r="Q40" s="12"/>
      <c r="R40" s="12"/>
      <c r="S40" s="12"/>
      <c r="T40" s="12"/>
      <c r="U40" s="12"/>
      <c r="V40" s="12"/>
    </row>
    <row r="41" spans="1:22" x14ac:dyDescent="0.25">
      <c r="A41" s="4"/>
      <c r="B41" s="4"/>
      <c r="C41" s="1"/>
      <c r="D41" s="1"/>
      <c r="E41" s="1"/>
      <c r="F41" s="1"/>
      <c r="G41" s="1"/>
      <c r="H41" s="1"/>
      <c r="I41" s="2"/>
      <c r="J41" s="1"/>
      <c r="K41" s="1"/>
      <c r="L41" s="1"/>
      <c r="M41" s="2"/>
      <c r="N41" s="2"/>
      <c r="O41" s="2"/>
      <c r="P41" s="12"/>
      <c r="Q41" s="12"/>
      <c r="R41" s="12"/>
      <c r="S41" s="12"/>
      <c r="T41" s="12"/>
      <c r="U41" s="12"/>
      <c r="V41" s="12"/>
    </row>
    <row r="42" spans="1:22" x14ac:dyDescent="0.25">
      <c r="A42" s="1"/>
      <c r="B42" s="1"/>
      <c r="C42" s="1"/>
      <c r="D42" s="1"/>
      <c r="E42" s="1"/>
      <c r="F42" s="1"/>
      <c r="G42" s="1"/>
      <c r="H42" s="1"/>
      <c r="I42" s="2"/>
      <c r="J42" s="1"/>
      <c r="K42" s="1"/>
      <c r="L42" s="1"/>
      <c r="M42" s="2"/>
      <c r="N42" s="2"/>
      <c r="O42" s="2"/>
      <c r="P42" s="12"/>
      <c r="Q42" s="12"/>
      <c r="R42" s="12"/>
      <c r="S42" s="12"/>
      <c r="T42" s="12"/>
      <c r="U42" s="12"/>
      <c r="V42" s="12"/>
    </row>
    <row r="43" spans="1:22" x14ac:dyDescent="0.25">
      <c r="A43" s="1"/>
      <c r="B43" s="1"/>
      <c r="C43" s="1"/>
      <c r="D43" s="1"/>
      <c r="E43" s="1"/>
      <c r="F43" s="1"/>
      <c r="G43" s="1"/>
      <c r="H43" s="1"/>
      <c r="I43" s="2"/>
      <c r="J43" s="1"/>
      <c r="K43" s="1"/>
      <c r="L43" s="1"/>
      <c r="M43" s="2"/>
      <c r="N43" s="2"/>
      <c r="O43" s="2"/>
      <c r="P43" s="12"/>
      <c r="Q43" s="12"/>
      <c r="R43" s="12"/>
      <c r="S43" s="12"/>
      <c r="T43" s="12"/>
      <c r="U43" s="12"/>
      <c r="V43" s="12"/>
    </row>
    <row r="44" spans="1:22" x14ac:dyDescent="0.25">
      <c r="I44" s="2"/>
      <c r="M44" s="2"/>
      <c r="N44" s="2"/>
      <c r="O44" s="2"/>
      <c r="P44" s="12"/>
      <c r="Q44" s="12"/>
      <c r="R44" s="12"/>
      <c r="S44" s="12"/>
      <c r="T44" s="12"/>
      <c r="U44" s="12"/>
      <c r="V44" s="12"/>
    </row>
    <row r="45" spans="1:22" x14ac:dyDescent="0.25">
      <c r="I45" s="2"/>
      <c r="M45" s="2"/>
      <c r="N45" s="2"/>
      <c r="O45" s="2"/>
      <c r="P45" s="12"/>
      <c r="Q45" s="12"/>
      <c r="R45" s="12"/>
      <c r="S45" s="12"/>
      <c r="T45" s="12"/>
      <c r="U45" s="12"/>
      <c r="V45" s="12"/>
    </row>
    <row r="46" spans="1:22" x14ac:dyDescent="0.25">
      <c r="I46" s="2"/>
      <c r="M46" s="2"/>
      <c r="N46" s="2"/>
      <c r="O46" s="2"/>
      <c r="P46" s="12"/>
      <c r="Q46" s="12"/>
      <c r="R46" s="12"/>
      <c r="S46" s="12"/>
      <c r="T46" s="12"/>
      <c r="U46" s="12"/>
      <c r="V46" s="12"/>
    </row>
    <row r="47" spans="1:22" x14ac:dyDescent="0.25">
      <c r="I47" s="2"/>
      <c r="M47" s="2"/>
      <c r="N47" s="2"/>
      <c r="O47" s="2"/>
      <c r="P47" s="12"/>
      <c r="Q47" s="12"/>
      <c r="R47" s="12"/>
      <c r="S47" s="12"/>
      <c r="T47" s="12"/>
      <c r="U47" s="12"/>
      <c r="V47" s="12"/>
    </row>
    <row r="48" spans="1:22" x14ac:dyDescent="0.25">
      <c r="I48" s="2"/>
      <c r="M48" s="2"/>
      <c r="N48" s="2"/>
      <c r="O48" s="2"/>
      <c r="P48" s="12"/>
      <c r="Q48" s="12"/>
      <c r="R48" s="12"/>
      <c r="S48" s="12"/>
      <c r="T48" s="12"/>
      <c r="U48" s="12"/>
      <c r="V48" s="12"/>
    </row>
    <row r="49" spans="9:22" x14ac:dyDescent="0.25">
      <c r="I49" s="2"/>
      <c r="M49" s="2"/>
      <c r="N49" s="2"/>
      <c r="O49" s="2"/>
      <c r="P49" s="12"/>
      <c r="Q49" s="12"/>
      <c r="R49" s="12"/>
      <c r="S49" s="12"/>
      <c r="T49" s="12"/>
      <c r="U49" s="12"/>
      <c r="V49" s="12"/>
    </row>
    <row r="50" spans="9:22" x14ac:dyDescent="0.25">
      <c r="I50" s="2"/>
      <c r="M50" s="2"/>
      <c r="N50" s="2"/>
      <c r="O50" s="2"/>
      <c r="P50" s="12"/>
      <c r="Q50" s="12"/>
      <c r="R50" s="12"/>
      <c r="S50" s="12"/>
      <c r="T50" s="12"/>
      <c r="U50" s="12"/>
      <c r="V50" s="12"/>
    </row>
    <row r="51" spans="9:22" x14ac:dyDescent="0.25">
      <c r="I51" s="2"/>
      <c r="M51" s="2"/>
      <c r="N51" s="2"/>
      <c r="O51" s="2"/>
      <c r="P51" s="12"/>
      <c r="Q51" s="12"/>
      <c r="R51" s="12"/>
      <c r="S51" s="12"/>
      <c r="T51" s="12"/>
      <c r="U51" s="12"/>
      <c r="V51" s="12"/>
    </row>
    <row r="52" spans="9:22" x14ac:dyDescent="0.25">
      <c r="I52" s="2"/>
      <c r="M52" s="2"/>
      <c r="N52" s="2"/>
      <c r="O52" s="2"/>
      <c r="P52" s="12"/>
      <c r="Q52" s="12"/>
      <c r="R52" s="12"/>
      <c r="S52" s="12"/>
      <c r="T52" s="12"/>
      <c r="U52" s="12"/>
      <c r="V52" s="12"/>
    </row>
    <row r="53" spans="9:22" x14ac:dyDescent="0.25">
      <c r="I53" s="2"/>
      <c r="M53" s="2"/>
      <c r="N53" s="2"/>
      <c r="O53" s="2"/>
      <c r="P53" s="12"/>
      <c r="Q53" s="12"/>
      <c r="R53" s="12"/>
      <c r="S53" s="12"/>
      <c r="T53" s="12"/>
      <c r="U53" s="12"/>
      <c r="V53" s="12"/>
    </row>
    <row r="54" spans="9:22" x14ac:dyDescent="0.25">
      <c r="I54" s="2"/>
      <c r="M54" s="2"/>
      <c r="N54" s="2"/>
      <c r="O54" s="2"/>
      <c r="P54" s="12"/>
      <c r="Q54" s="12"/>
      <c r="R54" s="12"/>
      <c r="S54" s="12"/>
      <c r="T54" s="12"/>
      <c r="U54" s="12"/>
      <c r="V54" s="12"/>
    </row>
    <row r="55" spans="9:22" x14ac:dyDescent="0.25">
      <c r="I55" s="2"/>
      <c r="M55" s="2"/>
      <c r="N55" s="2"/>
      <c r="O55" s="2"/>
      <c r="P55" s="12"/>
      <c r="Q55" s="12"/>
      <c r="R55" s="12"/>
      <c r="S55" s="12"/>
      <c r="T55" s="12"/>
      <c r="U55" s="12"/>
      <c r="V55" s="12"/>
    </row>
    <row r="56" spans="9:22" x14ac:dyDescent="0.25">
      <c r="I56" s="2"/>
      <c r="M56" s="2"/>
      <c r="N56" s="2"/>
      <c r="O56" s="2"/>
      <c r="P56" s="12"/>
      <c r="Q56" s="12"/>
      <c r="R56" s="12"/>
      <c r="S56" s="12"/>
      <c r="T56" s="12"/>
      <c r="U56" s="12"/>
      <c r="V56" s="12"/>
    </row>
    <row r="57" spans="9:22" x14ac:dyDescent="0.25">
      <c r="I57" s="2"/>
      <c r="M57" s="2"/>
      <c r="N57" s="2"/>
      <c r="O57" s="2"/>
      <c r="P57" s="12"/>
      <c r="Q57" s="12"/>
      <c r="R57" s="12"/>
      <c r="S57" s="12"/>
      <c r="T57" s="12"/>
      <c r="U57" s="12"/>
      <c r="V57" s="12"/>
    </row>
    <row r="58" spans="9:22" x14ac:dyDescent="0.25">
      <c r="I58" s="2"/>
      <c r="M58" s="2"/>
      <c r="N58" s="2"/>
      <c r="O58" s="2"/>
      <c r="P58" s="12"/>
      <c r="Q58" s="12"/>
      <c r="R58" s="12"/>
      <c r="S58" s="12"/>
      <c r="T58" s="12"/>
      <c r="U58" s="12"/>
      <c r="V58" s="12"/>
    </row>
    <row r="59" spans="9:22" x14ac:dyDescent="0.25">
      <c r="I59" s="2"/>
      <c r="M59" s="2"/>
      <c r="N59" s="2"/>
      <c r="O59" s="2"/>
      <c r="P59" s="12"/>
      <c r="Q59" s="12"/>
      <c r="R59" s="12"/>
      <c r="S59" s="12"/>
      <c r="T59" s="12"/>
      <c r="U59" s="12"/>
      <c r="V59" s="12"/>
    </row>
    <row r="60" spans="9:22" x14ac:dyDescent="0.25">
      <c r="I60" s="2"/>
      <c r="M60" s="2"/>
      <c r="N60" s="2"/>
      <c r="O60" s="2"/>
      <c r="P60" s="12"/>
      <c r="Q60" s="12"/>
      <c r="R60" s="12"/>
      <c r="S60" s="12"/>
      <c r="T60" s="12"/>
      <c r="U60" s="12"/>
      <c r="V60" s="12"/>
    </row>
    <row r="61" spans="9:22" x14ac:dyDescent="0.25">
      <c r="I61" s="2"/>
      <c r="M61" s="2"/>
      <c r="N61" s="2"/>
      <c r="O61" s="2"/>
      <c r="P61" s="12"/>
      <c r="Q61" s="12"/>
      <c r="R61" s="12"/>
      <c r="S61" s="12"/>
      <c r="T61" s="12"/>
      <c r="U61" s="12"/>
      <c r="V61" s="12"/>
    </row>
    <row r="62" spans="9:22" x14ac:dyDescent="0.25">
      <c r="I62" s="2"/>
      <c r="M62" s="2"/>
      <c r="N62" s="2"/>
      <c r="O62" s="2"/>
      <c r="P62" s="12"/>
      <c r="Q62" s="12"/>
      <c r="R62" s="12"/>
      <c r="S62" s="12"/>
      <c r="T62" s="12"/>
      <c r="U62" s="12"/>
      <c r="V62" s="12"/>
    </row>
    <row r="63" spans="9:22" x14ac:dyDescent="0.25">
      <c r="I63" s="2"/>
      <c r="M63" s="2"/>
      <c r="N63" s="2"/>
      <c r="O63" s="2"/>
      <c r="P63" s="12"/>
      <c r="Q63" s="12"/>
      <c r="R63" s="12"/>
      <c r="S63" s="12"/>
      <c r="T63" s="12"/>
      <c r="U63" s="12"/>
      <c r="V63" s="12"/>
    </row>
    <row r="64" spans="9:22" x14ac:dyDescent="0.25">
      <c r="I64" s="2"/>
      <c r="M64" s="2"/>
      <c r="N64" s="2"/>
      <c r="O64" s="2"/>
      <c r="P64" s="12"/>
      <c r="Q64" s="12"/>
      <c r="R64" s="12"/>
      <c r="S64" s="12"/>
      <c r="T64" s="12"/>
      <c r="U64" s="12"/>
      <c r="V64" s="12"/>
    </row>
    <row r="65" spans="9:22" x14ac:dyDescent="0.25">
      <c r="I65" s="2"/>
      <c r="M65" s="2"/>
      <c r="N65" s="2"/>
      <c r="O65" s="2"/>
      <c r="P65" s="12"/>
      <c r="Q65" s="12"/>
      <c r="R65" s="12"/>
      <c r="S65" s="12"/>
      <c r="T65" s="12"/>
      <c r="U65" s="12"/>
      <c r="V65" s="12"/>
    </row>
    <row r="66" spans="9:22" x14ac:dyDescent="0.25">
      <c r="I66" s="2"/>
      <c r="M66" s="2"/>
      <c r="N66" s="2"/>
      <c r="O66" s="2"/>
      <c r="P66" s="12"/>
      <c r="Q66" s="12"/>
      <c r="R66" s="12"/>
      <c r="S66" s="12"/>
      <c r="T66" s="12"/>
      <c r="U66" s="12"/>
      <c r="V66" s="12"/>
    </row>
    <row r="67" spans="9:22" x14ac:dyDescent="0.25">
      <c r="I67" s="2"/>
      <c r="M67" s="2"/>
      <c r="N67" s="2"/>
      <c r="O67" s="2"/>
      <c r="P67" s="12"/>
      <c r="Q67" s="12"/>
      <c r="R67" s="12"/>
      <c r="S67" s="12"/>
      <c r="T67" s="12"/>
      <c r="U67" s="12"/>
      <c r="V67" s="12"/>
    </row>
    <row r="68" spans="9:22" x14ac:dyDescent="0.25">
      <c r="I68" s="2"/>
      <c r="M68" s="2"/>
      <c r="N68" s="2"/>
      <c r="O68" s="2"/>
      <c r="P68" s="12"/>
      <c r="Q68" s="12"/>
      <c r="R68" s="12"/>
      <c r="S68" s="12"/>
      <c r="T68" s="12"/>
      <c r="U68" s="12"/>
      <c r="V68" s="12"/>
    </row>
  </sheetData>
  <mergeCells count="6">
    <mergeCell ref="I1:V1"/>
    <mergeCell ref="A1:G1"/>
    <mergeCell ref="A2:B2"/>
    <mergeCell ref="E2:F2"/>
    <mergeCell ref="A12:B12"/>
    <mergeCell ref="A6:B6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14</vt:i4>
      </vt:variant>
    </vt:vector>
  </HeadingPairs>
  <TitlesOfParts>
    <vt:vector size="15" baseType="lpstr">
      <vt:lpstr>Материальный баланс</vt:lpstr>
      <vt:lpstr>Bg_init</vt:lpstr>
      <vt:lpstr>Bo_init</vt:lpstr>
      <vt:lpstr>cf</vt:lpstr>
      <vt:lpstr>cw</vt:lpstr>
      <vt:lpstr>N</vt:lpstr>
      <vt:lpstr>pb_atma</vt:lpstr>
      <vt:lpstr>Pres_init</vt:lpstr>
      <vt:lpstr>PVT_json</vt:lpstr>
      <vt:lpstr>PVT_json_2</vt:lpstr>
      <vt:lpstr>PVT_json_3</vt:lpstr>
      <vt:lpstr>Rs_init</vt:lpstr>
      <vt:lpstr>Swc</vt:lpstr>
      <vt:lpstr>t_res_C</vt:lpstr>
      <vt:lpstr>Vgascap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2024-02-16T10:10:25Z</dcterms:modified>
</cp:coreProperties>
</file>